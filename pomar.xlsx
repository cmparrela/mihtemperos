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BANNERS" sheetId="2" r:id="rId6"/>
    <sheet state="visible" name="CONFIG" sheetId="3" r:id="rId7"/>
  </sheets>
  <definedNames/>
  <calcPr/>
</workbook>
</file>

<file path=xl/sharedStrings.xml><?xml version="1.0" encoding="utf-8"?>
<sst xmlns="http://schemas.openxmlformats.org/spreadsheetml/2006/main" count="86" uniqueCount="56">
  <si>
    <t>id</t>
  </si>
  <si>
    <t>name</t>
  </si>
  <si>
    <t>price</t>
  </si>
  <si>
    <t>unitType</t>
  </si>
  <si>
    <t>step</t>
  </si>
  <si>
    <t>min</t>
  </si>
  <si>
    <t>category</t>
  </si>
  <si>
    <t>image</t>
  </si>
  <si>
    <t>priceReal</t>
  </si>
  <si>
    <t xml:space="preserve">Tomate </t>
  </si>
  <si>
    <t>weight</t>
  </si>
  <si>
    <t>0.5</t>
  </si>
  <si>
    <t>legumes</t>
  </si>
  <si>
    <t>https://www.confianca.com.br/ccstore/v1/images/?source=/file/v5439388281595603801/products/1145568.1.jpg&amp;height=940&amp;width=940</t>
  </si>
  <si>
    <t>Banana Prata 1kg - Aproximadamente 8 Unidades</t>
  </si>
  <si>
    <t>frutas</t>
  </si>
  <si>
    <t>https://www.confianca.com.br/ccstore/v1/images/?source=/file/v6756651073244377096/products/1144766.1.jpg&amp;height=940&amp;width=940</t>
  </si>
  <si>
    <t>Alface Crespa Ecorgânico</t>
  </si>
  <si>
    <t>unit</t>
  </si>
  <si>
    <t>folhas</t>
  </si>
  <si>
    <t>https://www.confianca.com.br/ccstore/v1/images/?source=/file/v5406741644758650523/products/261009.1.jpg&amp;height=940&amp;width=940</t>
  </si>
  <si>
    <t>Alface Yamaguti Americana Hidropônica Maço</t>
  </si>
  <si>
    <t>https://www.confianca.com.br/ccstore/v1/images/?source=/file/v2870982347532076736/products/1693905.1.jpg&amp;height=940&amp;width=940</t>
  </si>
  <si>
    <t>Couve Maço Unidade</t>
  </si>
  <si>
    <t>https://obahortifruti.vtexassets.com/arquivos/ids/11481999-630-630</t>
  </si>
  <si>
    <t>Couve Manteiga Orgânica 250g</t>
  </si>
  <si>
    <t>0.25</t>
  </si>
  <si>
    <t>https://obahortifruti.vtexassets.com/arquivos/ids/11473637-630-630</t>
  </si>
  <si>
    <t>Repolho Roxo</t>
  </si>
  <si>
    <t>https://obahortifruti.vtexassets.com/arquivos/ids/8446424-630-630</t>
  </si>
  <si>
    <t>Agrião Com Rúcula Higienizado Pronto! 160 G</t>
  </si>
  <si>
    <t>0.16</t>
  </si>
  <si>
    <t>https://obahortifruti.vtexassets.com/arquivos/ids/9025949-630-630</t>
  </si>
  <si>
    <t>Laranja Pera Pacote 5 Kg</t>
  </si>
  <si>
    <t>https://obahortifruti.vtexassets.com/arquivos/ids/8447088-630-630</t>
  </si>
  <si>
    <t>Laranja Pera Rio</t>
  </si>
  <si>
    <t>https://obahortifruti.vtexassets.com/arquivos/ids/11482236-630-630</t>
  </si>
  <si>
    <t>Mamão Papaia Inteiro</t>
  </si>
  <si>
    <t>https://www.confianca.com.br/ccstore/v1/images/?source=/file/v877498626965189657/products/1145142.1.jpg&amp;height=940&amp;width=940</t>
  </si>
  <si>
    <t>Abacate - Aproximadamente 800g</t>
  </si>
  <si>
    <t>0.8</t>
  </si>
  <si>
    <t>https://www.confianca.com.br/ccstore/v1/images/?source=/file/v7146590641585620104/products/1144618.1.jpg&amp;height=940&amp;width=940</t>
  </si>
  <si>
    <t>Tangerina Murcott</t>
  </si>
  <si>
    <t>0.18</t>
  </si>
  <si>
    <t>https://obahortifruti.vtexassets.com/arquivos/ids/11473677-630-630</t>
  </si>
  <si>
    <t>link</t>
  </si>
  <si>
    <t>title</t>
  </si>
  <si>
    <t>https://images.unsplash.com/photo-1625758477730-e228a4b58adb?q=80&amp;w=1470&amp;auto=format&amp;fit=crop&amp;ixlib=rb-4.1.0&amp;ixid=M3wxMjA3fDB8MHxwaG90by1wYWdlfHx8fGVufDB8fHx8fA%3D%3D</t>
  </si>
  <si>
    <t>Verduras</t>
  </si>
  <si>
    <t>https://plus.unsplash.com/premium_photo-1663050620963-e336138514a8?q=80&amp;w=1470&amp;auto=format&amp;fit=crop&amp;ixlib=rb-4.1.0&amp;ixid=M3wxMjA3fDB8MHxwaG90by1wYWdlfHx8fGVufDB8fHx8fA%3D%3D</t>
  </si>
  <si>
    <t>https://images.unsplash.com/photo-1610832958506-aa56368176cf?q=80&amp;w=1470&amp;auto=format&amp;fit=crop&amp;ixlib=rb-4.1.0&amp;ixid=M3wxMjA3fDB8MHxwaG90by1wYWdlfHx8fGVufDB8fHx8fA%3D%3D</t>
  </si>
  <si>
    <t>chave</t>
  </si>
  <si>
    <t>valor</t>
  </si>
  <si>
    <t>tax</t>
  </si>
  <si>
    <t>frete</t>
  </si>
  <si>
    <t>pedido_minimo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</si>
</sst>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sz val="10.0"/>
      <color rgb="FF000000"/>
    </font>
    <font>
      <color rgb="FF363636"/>
      <name val="Arial"/>
      <scheme val="minor"/>
    </font>
    <font>
      <sz val="10.0"/>
      <color rgb="FF363636"/>
      <name val="Arial"/>
      <scheme val="minor"/>
    </font>
    <font>
      <u/>
      <sz val="10.0"/>
      <color rgb="FF000000"/>
    </font>
    <font>
      <color rgb="FF000000"/>
      <name val="Arial"/>
      <scheme val="minor"/>
    </font>
    <font>
      <sz val="11.0"/>
      <color rgb="FF000000"/>
      <name val="Arial"/>
      <scheme val="minor"/>
    </font>
    <font>
      <b/>
      <color rgb="FF363636"/>
      <name val="Inter"/>
    </font>
    <font>
      <b/>
      <sz val="10.0"/>
      <color rgb="FF000000"/>
      <name val="Arial"/>
      <scheme val="minor"/>
    </font>
    <font>
      <sz val="10.0"/>
      <color rgb="FF1A202C"/>
      <name val="Roboto"/>
    </font>
    <font>
      <sz val="10.0"/>
      <color rgb="FF004B93"/>
      <name val="-apple-system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4" xfId="0" applyAlignment="1" applyBorder="1" applyFill="1" applyFont="1" applyNumberFormat="1">
      <alignment readingOrder="0"/>
    </xf>
    <xf borderId="1" fillId="3" fontId="1" numFmtId="164" xfId="0" applyAlignment="1" applyBorder="1" applyFont="1" applyNumberFormat="1">
      <alignment readingOrder="0"/>
    </xf>
    <xf borderId="1" fillId="0" fontId="0" numFmtId="0" xfId="0" applyAlignment="1" applyBorder="1" applyFont="1">
      <alignment horizontal="left" readingOrder="0" vertical="center"/>
    </xf>
    <xf borderId="1" fillId="3" fontId="0" numFmtId="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0" numFmtId="164" xfId="0" applyAlignment="1" applyBorder="1" applyFont="1" applyNumberFormat="1">
      <alignment horizontal="left" readingOrder="0" vertical="center"/>
    </xf>
    <xf borderId="1" fillId="0" fontId="0" numFmtId="0" xfId="0" applyAlignment="1" applyBorder="1" applyFont="1">
      <alignment horizontal="left" readingOrder="0" shrinkToFit="0" vertical="center" wrapText="1"/>
    </xf>
    <xf borderId="1" fillId="3" fontId="0" numFmtId="164" xfId="0" applyAlignment="1" applyBorder="1" applyFont="1" applyNumberFormat="1">
      <alignment horizontal="left" readingOrder="0" shrinkToFit="0" vertical="center" wrapText="1"/>
    </xf>
    <xf borderId="1" fillId="4" fontId="0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readingOrder="0" shrinkToFit="0" wrapText="1"/>
    </xf>
    <xf borderId="1" fillId="0" fontId="0" numFmtId="3" xfId="0" applyAlignment="1" applyBorder="1" applyFont="1" applyNumberFormat="1">
      <alignment horizontal="left" readingOrder="0" vertical="center"/>
    </xf>
    <xf borderId="1" fillId="4" fontId="0" numFmtId="0" xfId="0" applyAlignment="1" applyBorder="1" applyFont="1">
      <alignment horizontal="left" readingOrder="0" vertical="center"/>
    </xf>
    <xf borderId="1" fillId="4" fontId="0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3" fontId="7" numFmtId="164" xfId="0" applyAlignment="1" applyBorder="1" applyFont="1" applyNumberFormat="1">
      <alignment readingOrder="0" shrinkToFit="0" vertical="center" wrapText="1"/>
    </xf>
    <xf borderId="0" fillId="4" fontId="8" numFmtId="0" xfId="0" applyFont="1"/>
    <xf borderId="0" fillId="3" fontId="9" numFmtId="164" xfId="0" applyAlignment="1" applyFont="1" applyNumberFormat="1">
      <alignment horizontal="left" readingOrder="0" shrinkToFit="0" vertical="center" wrapText="1"/>
    </xf>
    <xf borderId="1" fillId="4" fontId="10" numFmtId="0" xfId="0" applyAlignment="1" applyBorder="1" applyFont="1">
      <alignment shrinkToFit="0" wrapText="1"/>
    </xf>
    <xf borderId="1" fillId="4" fontId="11" numFmtId="0" xfId="0" applyAlignment="1" applyBorder="1" applyFont="1">
      <alignment readingOrder="0" shrinkToFit="0" wrapText="1"/>
    </xf>
    <xf borderId="1" fillId="3" fontId="9" numFmtId="164" xfId="0" applyAlignment="1" applyBorder="1" applyFont="1" applyNumberFormat="1">
      <alignment horizontal="left" readingOrder="0" shrinkToFit="0" vertical="center" wrapText="1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onfianca.com.br/ccstore/v1/images/?source=/file/v877498626965189657/products/1145142.1.jpg&amp;height=940&amp;width=940" TargetMode="External"/><Relationship Id="rId10" Type="http://schemas.openxmlformats.org/officeDocument/2006/relationships/hyperlink" Target="https://obahortifruti.vtexassets.com/arquivos/ids/11482236-630-630" TargetMode="External"/><Relationship Id="rId13" Type="http://schemas.openxmlformats.org/officeDocument/2006/relationships/hyperlink" Target="https://obahortifruti.vtexassets.com/arquivos/ids/11473677-630-630" TargetMode="External"/><Relationship Id="rId12" Type="http://schemas.openxmlformats.org/officeDocument/2006/relationships/hyperlink" Target="https://www.confianca.com.br/ccstore/v1/images/?source=/file/v7146590641585620104/products/1144618.1.jpg&amp;height=940&amp;width=940" TargetMode="External"/><Relationship Id="rId1" Type="http://schemas.openxmlformats.org/officeDocument/2006/relationships/hyperlink" Target="https://www.confianca.com.br/ccstore/v1/images/?source=/file/v5439388281595603801/products/1145568.1.jpg&amp;height=940&amp;width=940" TargetMode="External"/><Relationship Id="rId2" Type="http://schemas.openxmlformats.org/officeDocument/2006/relationships/hyperlink" Target="https://www.confianca.com.br/ccstore/v1/images/?source=/file/v6756651073244377096/products/1144766.1.jpg&amp;height=940&amp;width=940" TargetMode="External"/><Relationship Id="rId3" Type="http://schemas.openxmlformats.org/officeDocument/2006/relationships/hyperlink" Target="https://www.confianca.com.br/ccstore/v1/images/?source=/file/v5406741644758650523/products/261009.1.jpg&amp;height=940&amp;width=940" TargetMode="External"/><Relationship Id="rId4" Type="http://schemas.openxmlformats.org/officeDocument/2006/relationships/hyperlink" Target="https://www.confianca.com.br/ccstore/v1/images/?source=/file/v2870982347532076736/products/1693905.1.jpg&amp;height=940&amp;width=940" TargetMode="External"/><Relationship Id="rId9" Type="http://schemas.openxmlformats.org/officeDocument/2006/relationships/hyperlink" Target="https://obahortifruti.vtexassets.com/arquivos/ids/8447088-630-630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obahortifruti.vtexassets.com/arquivos/ids/11481999-630-630" TargetMode="External"/><Relationship Id="rId6" Type="http://schemas.openxmlformats.org/officeDocument/2006/relationships/hyperlink" Target="https://obahortifruti.vtexassets.com/arquivos/ids/11473637-630-630" TargetMode="External"/><Relationship Id="rId7" Type="http://schemas.openxmlformats.org/officeDocument/2006/relationships/hyperlink" Target="https://obahortifruti.vtexassets.com/arquivos/ids/8446424-630-630" TargetMode="External"/><Relationship Id="rId8" Type="http://schemas.openxmlformats.org/officeDocument/2006/relationships/hyperlink" Target="https://obahortifruti.vtexassets.com/arquivos/ids/9025949-630-63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625758477730-e228a4b58adb?q=80&amp;w=1470&amp;auto=format&amp;fit=crop&amp;ixlib=rb-4.1.0&amp;ixid=M3wxMjA3fDB8MHxwaG90by1wYWdlfHx8fGVufDB8fHx8fA%3D%3D" TargetMode="External"/><Relationship Id="rId2" Type="http://schemas.openxmlformats.org/officeDocument/2006/relationships/hyperlink" Target="https://plus.unsplash.com/premium_photo-1663050620963-e336138514a8?q=80&amp;w=1470&amp;auto=format&amp;fit=crop&amp;ixlib=rb-4.1.0&amp;ixid=M3wxMjA3fDB8MHxwaG90by1wYWdlfHx8fGVufDB8fHx8fA%3D%3D" TargetMode="External"/><Relationship Id="rId3" Type="http://schemas.openxmlformats.org/officeDocument/2006/relationships/hyperlink" Target="https://images.unsplash.com/photo-1610832958506-aa56368176cf?q=80&amp;w=1470&amp;auto=format&amp;fit=crop&amp;ixlib=rb-4.1.0&amp;ixid=M3wxMjA3fDB8MHxwaG90by1wYWdlfHx8fGVufDB8fHx8fA%3D%3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8" max="8" width="1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>
        <v>1.0</v>
      </c>
      <c r="B2" s="4" t="s">
        <v>9</v>
      </c>
      <c r="C2" s="5">
        <f>I2 * (1 + CONFIG!F$1)</f>
        <v>10.479</v>
      </c>
      <c r="D2" s="4" t="s">
        <v>10</v>
      </c>
      <c r="E2" s="4" t="s">
        <v>11</v>
      </c>
      <c r="F2" s="4" t="s">
        <v>11</v>
      </c>
      <c r="G2" s="6" t="s">
        <v>12</v>
      </c>
      <c r="H2" s="7" t="s">
        <v>13</v>
      </c>
      <c r="I2" s="8">
        <v>9.98</v>
      </c>
    </row>
    <row r="3">
      <c r="A3" s="4">
        <v>2.0</v>
      </c>
      <c r="B3" s="9" t="s">
        <v>14</v>
      </c>
      <c r="C3" s="5">
        <f>I3 * (1 + CONFIG!F$1)</f>
        <v>12.5475</v>
      </c>
      <c r="D3" s="4" t="s">
        <v>10</v>
      </c>
      <c r="E3" s="4">
        <v>1.0</v>
      </c>
      <c r="F3" s="4">
        <v>1.0</v>
      </c>
      <c r="G3" s="6" t="s">
        <v>15</v>
      </c>
      <c r="H3" s="7" t="s">
        <v>16</v>
      </c>
      <c r="I3" s="8">
        <v>11.95</v>
      </c>
    </row>
    <row r="4">
      <c r="A4" s="4">
        <v>3.0</v>
      </c>
      <c r="B4" s="9" t="s">
        <v>17</v>
      </c>
      <c r="C4" s="5">
        <f>I4 * (1 + CONFIG!F$1)</f>
        <v>9.4395</v>
      </c>
      <c r="D4" s="4" t="s">
        <v>18</v>
      </c>
      <c r="E4" s="4">
        <v>1.0</v>
      </c>
      <c r="F4" s="4">
        <v>1.0</v>
      </c>
      <c r="G4" s="6" t="s">
        <v>19</v>
      </c>
      <c r="H4" s="7" t="s">
        <v>20</v>
      </c>
      <c r="I4" s="10">
        <v>8.99</v>
      </c>
    </row>
    <row r="5">
      <c r="A5" s="4">
        <v>4.0</v>
      </c>
      <c r="B5" s="11" t="s">
        <v>21</v>
      </c>
      <c r="C5" s="5">
        <f>I5 * (1 + CONFIG!F$1)</f>
        <v>9.4395</v>
      </c>
      <c r="D5" s="4" t="s">
        <v>18</v>
      </c>
      <c r="E5" s="4">
        <v>1.0</v>
      </c>
      <c r="F5" s="4">
        <v>1.0</v>
      </c>
      <c r="G5" s="6" t="s">
        <v>19</v>
      </c>
      <c r="H5" s="7" t="s">
        <v>22</v>
      </c>
      <c r="I5" s="10">
        <v>8.99</v>
      </c>
    </row>
    <row r="6">
      <c r="A6" s="4">
        <v>5.0</v>
      </c>
      <c r="B6" s="12" t="s">
        <v>23</v>
      </c>
      <c r="C6" s="5">
        <f>I6 * (1 + CONFIG!F$1)</f>
        <v>10.4895</v>
      </c>
      <c r="D6" s="4" t="s">
        <v>18</v>
      </c>
      <c r="E6" s="4">
        <v>1.0</v>
      </c>
      <c r="F6" s="4">
        <v>1.0</v>
      </c>
      <c r="G6" s="6" t="s">
        <v>19</v>
      </c>
      <c r="H6" s="7" t="s">
        <v>24</v>
      </c>
      <c r="I6" s="10">
        <v>9.99</v>
      </c>
    </row>
    <row r="7">
      <c r="A7" s="4">
        <v>6.0</v>
      </c>
      <c r="B7" s="13" t="s">
        <v>25</v>
      </c>
      <c r="C7" s="5">
        <f>I7 * (1 + CONFIG!F$1)</f>
        <v>15.7395</v>
      </c>
      <c r="D7" s="4" t="s">
        <v>10</v>
      </c>
      <c r="E7" s="14" t="s">
        <v>26</v>
      </c>
      <c r="F7" s="14" t="s">
        <v>26</v>
      </c>
      <c r="G7" s="6" t="s">
        <v>19</v>
      </c>
      <c r="H7" s="7" t="s">
        <v>27</v>
      </c>
      <c r="I7" s="10">
        <v>14.99</v>
      </c>
    </row>
    <row r="8">
      <c r="A8" s="4">
        <v>7.0</v>
      </c>
      <c r="B8" s="15" t="s">
        <v>28</v>
      </c>
      <c r="C8" s="5">
        <f>I8 * (1 + CONFIG!F$1)</f>
        <v>15.729</v>
      </c>
      <c r="D8" s="4" t="s">
        <v>18</v>
      </c>
      <c r="E8" s="4">
        <v>1.0</v>
      </c>
      <c r="F8" s="4">
        <v>1.0</v>
      </c>
      <c r="G8" s="6" t="s">
        <v>12</v>
      </c>
      <c r="H8" s="7" t="s">
        <v>29</v>
      </c>
      <c r="I8" s="8">
        <v>14.98</v>
      </c>
    </row>
    <row r="9">
      <c r="A9" s="4">
        <v>8.0</v>
      </c>
      <c r="B9" s="11" t="s">
        <v>30</v>
      </c>
      <c r="C9" s="5">
        <f>I9 * (1 + CONFIG!F$1)</f>
        <v>13.6395</v>
      </c>
      <c r="D9" s="4" t="s">
        <v>10</v>
      </c>
      <c r="E9" s="4" t="s">
        <v>31</v>
      </c>
      <c r="F9" s="4" t="s">
        <v>31</v>
      </c>
      <c r="G9" s="6" t="s">
        <v>19</v>
      </c>
      <c r="H9" s="7" t="s">
        <v>32</v>
      </c>
      <c r="I9" s="8">
        <v>12.99</v>
      </c>
    </row>
    <row r="10">
      <c r="A10" s="4">
        <v>9.0</v>
      </c>
      <c r="B10" s="15" t="s">
        <v>33</v>
      </c>
      <c r="C10" s="5">
        <f>I10 * (1 + CONFIG!F$1)</f>
        <v>47.2395</v>
      </c>
      <c r="D10" s="4" t="s">
        <v>18</v>
      </c>
      <c r="E10" s="4">
        <v>1.0</v>
      </c>
      <c r="F10" s="4">
        <v>1.0</v>
      </c>
      <c r="G10" s="6" t="s">
        <v>15</v>
      </c>
      <c r="H10" s="7" t="s">
        <v>34</v>
      </c>
      <c r="I10" s="8">
        <v>44.99</v>
      </c>
    </row>
    <row r="11">
      <c r="A11" s="4">
        <v>10.0</v>
      </c>
      <c r="B11" s="15" t="s">
        <v>35</v>
      </c>
      <c r="C11" s="5">
        <f>I11 * (1 + CONFIG!F$1)</f>
        <v>1.995</v>
      </c>
      <c r="D11" s="4" t="s">
        <v>18</v>
      </c>
      <c r="E11" s="4">
        <v>1.0</v>
      </c>
      <c r="F11" s="4">
        <v>1.0</v>
      </c>
      <c r="G11" s="6" t="s">
        <v>15</v>
      </c>
      <c r="H11" s="7" t="s">
        <v>36</v>
      </c>
      <c r="I11" s="10">
        <v>1.9</v>
      </c>
    </row>
    <row r="12">
      <c r="A12" s="9">
        <v>11.0</v>
      </c>
      <c r="B12" s="11" t="s">
        <v>37</v>
      </c>
      <c r="C12" s="5">
        <f>I12 * (1 + CONFIG!F$1)</f>
        <v>13.6185</v>
      </c>
      <c r="D12" s="9" t="s">
        <v>10</v>
      </c>
      <c r="E12" s="9">
        <v>1.0</v>
      </c>
      <c r="F12" s="9">
        <v>1.0</v>
      </c>
      <c r="G12" s="6" t="s">
        <v>15</v>
      </c>
      <c r="H12" s="7" t="s">
        <v>38</v>
      </c>
      <c r="I12" s="10">
        <v>12.97</v>
      </c>
    </row>
    <row r="13">
      <c r="A13" s="11">
        <v>12.0</v>
      </c>
      <c r="B13" s="16" t="s">
        <v>39</v>
      </c>
      <c r="C13" s="5">
        <f>I13 * (1 + CONFIG!F$1)</f>
        <v>4.158</v>
      </c>
      <c r="D13" s="11" t="s">
        <v>10</v>
      </c>
      <c r="E13" s="11" t="s">
        <v>40</v>
      </c>
      <c r="F13" s="11" t="s">
        <v>40</v>
      </c>
      <c r="G13" s="6" t="s">
        <v>15</v>
      </c>
      <c r="H13" s="17" t="s">
        <v>41</v>
      </c>
      <c r="I13" s="10">
        <v>3.96</v>
      </c>
    </row>
    <row r="14">
      <c r="A14" s="11">
        <v>13.0</v>
      </c>
      <c r="B14" s="18" t="s">
        <v>42</v>
      </c>
      <c r="C14" s="5">
        <f>I14 * (1 + CONFIG!F$1)</f>
        <v>17.8395</v>
      </c>
      <c r="D14" s="11" t="s">
        <v>10</v>
      </c>
      <c r="E14" s="11" t="s">
        <v>43</v>
      </c>
      <c r="F14" s="11" t="s">
        <v>43</v>
      </c>
      <c r="G14" s="6" t="s">
        <v>15</v>
      </c>
      <c r="H14" s="17" t="s">
        <v>44</v>
      </c>
      <c r="I14" s="19">
        <v>16.99</v>
      </c>
    </row>
    <row r="15">
      <c r="A15" s="4">
        <v>14.0</v>
      </c>
      <c r="B15" s="20"/>
      <c r="C15" s="5">
        <f>I15 * (1 + CONFIG!F$1)</f>
        <v>0</v>
      </c>
      <c r="D15" s="4"/>
      <c r="E15" s="4"/>
      <c r="F15" s="4"/>
      <c r="G15" s="4"/>
      <c r="H15" s="9"/>
      <c r="I15" s="21"/>
    </row>
    <row r="16">
      <c r="A16" s="4">
        <v>15.0</v>
      </c>
      <c r="B16" s="22"/>
      <c r="C16" s="5">
        <f>I16 * (1 + CONFIG!F$1)</f>
        <v>0</v>
      </c>
      <c r="D16" s="4"/>
      <c r="E16" s="4"/>
      <c r="F16" s="4"/>
      <c r="G16" s="4"/>
      <c r="H16" s="9"/>
      <c r="I16" s="10"/>
    </row>
    <row r="17">
      <c r="A17" s="4">
        <v>16.0</v>
      </c>
      <c r="B17" s="23"/>
      <c r="C17" s="5">
        <f>I17 * (1 + CONFIG!F$1)</f>
        <v>0</v>
      </c>
      <c r="D17" s="4"/>
      <c r="E17" s="4"/>
      <c r="F17" s="4"/>
      <c r="G17" s="4"/>
      <c r="H17" s="9"/>
      <c r="I17" s="24"/>
    </row>
    <row r="18">
      <c r="C18" s="5">
        <f>I18 * (1 + CONFIG!F$1)</f>
        <v>0</v>
      </c>
    </row>
    <row r="19">
      <c r="C19" s="5">
        <f>I19 * (1 + CONFIG!F$1)</f>
        <v>0</v>
      </c>
    </row>
    <row r="20">
      <c r="C20" s="5">
        <f>I20 * (1 + CONFIG!F$1)</f>
        <v>0</v>
      </c>
    </row>
    <row r="21">
      <c r="C21" s="5">
        <f>I21 * (1 + CONFIG!F$1)</f>
        <v>0</v>
      </c>
    </row>
    <row r="22">
      <c r="C22" s="5">
        <f>I22 * (1 + CONFIG!F$1)</f>
        <v>0</v>
      </c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6.25"/>
  </cols>
  <sheetData>
    <row r="1">
      <c r="A1" s="26" t="s">
        <v>0</v>
      </c>
      <c r="B1" s="26" t="s">
        <v>7</v>
      </c>
      <c r="C1" s="26" t="s">
        <v>45</v>
      </c>
      <c r="D1" s="26" t="s">
        <v>46</v>
      </c>
    </row>
    <row r="2">
      <c r="A2" s="26">
        <v>1.0</v>
      </c>
      <c r="B2" s="27" t="s">
        <v>47</v>
      </c>
      <c r="D2" s="26" t="s">
        <v>48</v>
      </c>
    </row>
    <row r="3">
      <c r="A3" s="26">
        <v>2.0</v>
      </c>
      <c r="B3" s="28" t="s">
        <v>49</v>
      </c>
      <c r="D3" s="26" t="s">
        <v>48</v>
      </c>
    </row>
    <row r="4">
      <c r="A4" s="26">
        <v>3.0</v>
      </c>
      <c r="B4" s="28" t="s">
        <v>50</v>
      </c>
      <c r="D4" s="26" t="s">
        <v>48</v>
      </c>
    </row>
    <row r="9">
      <c r="B9" s="29"/>
    </row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0"/>
  </cols>
  <sheetData>
    <row r="1">
      <c r="A1" s="26" t="s">
        <v>51</v>
      </c>
      <c r="B1" s="26" t="s">
        <v>52</v>
      </c>
      <c r="E1" s="26" t="s">
        <v>53</v>
      </c>
      <c r="F1" s="30">
        <v>0.05</v>
      </c>
    </row>
    <row r="2">
      <c r="A2" s="26" t="s">
        <v>54</v>
      </c>
      <c r="B2" s="26">
        <v>5.0</v>
      </c>
    </row>
    <row r="3">
      <c r="A3" s="26" t="s">
        <v>55</v>
      </c>
      <c r="B3" s="26">
        <v>15.0</v>
      </c>
    </row>
  </sheetData>
  <drawing r:id="rId1"/>
</worksheet>
</file>